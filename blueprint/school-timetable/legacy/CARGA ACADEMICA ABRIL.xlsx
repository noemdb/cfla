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2025-2026\HORARIOS\HORARIOS Y CARGA ACADEMICA\"/>
    </mc:Choice>
  </mc:AlternateContent>
  <bookViews>
    <workbookView xWindow="0" yWindow="0" windowWidth="28800" windowHeight="12330"/>
  </bookViews>
  <sheets>
    <sheet name="Docentes" sheetId="1" r:id="rId1"/>
  </sheets>
  <calcPr calcId="162913"/>
</workbook>
</file>

<file path=xl/calcChain.xml><?xml version="1.0" encoding="utf-8"?>
<calcChain xmlns="http://schemas.openxmlformats.org/spreadsheetml/2006/main">
  <c r="AG68" i="1" l="1"/>
  <c r="AF68" i="1"/>
  <c r="AH19" i="1" l="1"/>
  <c r="AH41" i="1" l="1"/>
  <c r="AH9" i="1" l="1"/>
  <c r="AI9" i="1" s="1"/>
  <c r="AH35" i="1" l="1"/>
  <c r="AI35" i="1" s="1"/>
  <c r="AI39" i="1"/>
  <c r="AH10" i="1"/>
  <c r="AI10" i="1" s="1"/>
  <c r="AH11" i="1"/>
  <c r="AI11" i="1" s="1"/>
  <c r="AI8" i="1"/>
  <c r="AH32" i="1"/>
  <c r="AI32" i="1" s="1"/>
  <c r="AH29" i="1"/>
  <c r="AI29" i="1" s="1"/>
  <c r="AE68" i="1"/>
  <c r="AI37" i="1"/>
  <c r="AH27" i="1"/>
  <c r="AI27" i="1" s="1"/>
  <c r="AH26" i="1"/>
  <c r="AI26" i="1" s="1"/>
  <c r="AH22" i="1"/>
  <c r="AI22" i="1" s="1"/>
  <c r="AI20" i="1"/>
  <c r="AH18" i="1"/>
  <c r="AI18" i="1" s="1"/>
  <c r="AH14" i="1"/>
  <c r="AI14" i="1" s="1"/>
  <c r="AH13" i="1"/>
  <c r="AI13" i="1" s="1"/>
  <c r="AH7" i="1"/>
  <c r="AI7" i="1" s="1"/>
  <c r="AH6" i="1"/>
  <c r="AI15" i="1" l="1"/>
  <c r="AH68" i="1"/>
  <c r="AI6" i="1"/>
  <c r="AI41" i="1"/>
  <c r="AL5" i="1" l="1"/>
  <c r="AI68" i="1"/>
</calcChain>
</file>

<file path=xl/sharedStrings.xml><?xml version="1.0" encoding="utf-8"?>
<sst xmlns="http://schemas.openxmlformats.org/spreadsheetml/2006/main" count="194" uniqueCount="114">
  <si>
    <t>N°</t>
  </si>
  <si>
    <t>Nombre y Apellido</t>
  </si>
  <si>
    <t>Área de Formación</t>
  </si>
  <si>
    <t>Inicial</t>
  </si>
  <si>
    <t>1ro Grado</t>
  </si>
  <si>
    <t>2do Grado</t>
  </si>
  <si>
    <t>3ro Grado</t>
  </si>
  <si>
    <t>4to Grado</t>
  </si>
  <si>
    <t>5to Grado</t>
  </si>
  <si>
    <t>6to Grado</t>
  </si>
  <si>
    <t>1er Año</t>
  </si>
  <si>
    <t>2do Año</t>
  </si>
  <si>
    <t>3er Año</t>
  </si>
  <si>
    <t>4to Año</t>
  </si>
  <si>
    <t>5to Año</t>
  </si>
  <si>
    <t>Horas</t>
  </si>
  <si>
    <t>Total</t>
  </si>
  <si>
    <t>1°</t>
  </si>
  <si>
    <t>2°</t>
  </si>
  <si>
    <t>3°</t>
  </si>
  <si>
    <t>A</t>
  </si>
  <si>
    <t>B</t>
  </si>
  <si>
    <t>Jefe Año</t>
  </si>
  <si>
    <t>Jefe Área</t>
  </si>
  <si>
    <t>AD</t>
  </si>
  <si>
    <t>AC</t>
  </si>
  <si>
    <t>Inglés</t>
  </si>
  <si>
    <t>Gabriela Ordoñez</t>
  </si>
  <si>
    <t>Aura Mendoza</t>
  </si>
  <si>
    <t>Castellano</t>
  </si>
  <si>
    <t>Tania Alvarez</t>
  </si>
  <si>
    <t>GHC</t>
  </si>
  <si>
    <t>FSN</t>
  </si>
  <si>
    <t>Csc. Tierra</t>
  </si>
  <si>
    <t>Física</t>
  </si>
  <si>
    <t>Milagros Ríos</t>
  </si>
  <si>
    <t>Química</t>
  </si>
  <si>
    <t>OV</t>
  </si>
  <si>
    <t>Carmin Cortez</t>
  </si>
  <si>
    <t>Robótica</t>
  </si>
  <si>
    <t>Harold Parra</t>
  </si>
  <si>
    <t>Sem. Inv.</t>
  </si>
  <si>
    <t>OC</t>
  </si>
  <si>
    <t>Innovación Tecnológica</t>
  </si>
  <si>
    <t>Jose Gabriel Torres</t>
  </si>
  <si>
    <t>Daniel Marchena</t>
  </si>
  <si>
    <t>Informática</t>
  </si>
  <si>
    <t>Moises Ordoñez</t>
  </si>
  <si>
    <t>Educ. Física</t>
  </si>
  <si>
    <t>Lenin Fernández</t>
  </si>
  <si>
    <t>Totales</t>
  </si>
  <si>
    <t>Alejandra Piñero</t>
  </si>
  <si>
    <t>Narda Matos</t>
  </si>
  <si>
    <t>José Muñoz</t>
  </si>
  <si>
    <t>COORDINACIÓN DE PLANIFICACIÓN Y EVALUACIÓN</t>
  </si>
  <si>
    <t>___________________________________</t>
  </si>
  <si>
    <t>Dirección Académica</t>
  </si>
  <si>
    <t>______________________________</t>
  </si>
  <si>
    <t>Biología</t>
  </si>
  <si>
    <t>FHC</t>
  </si>
  <si>
    <t>Biologia</t>
  </si>
  <si>
    <t>Roderyt Berris</t>
  </si>
  <si>
    <t>Ana Ibarra</t>
  </si>
  <si>
    <t>Eleonor Villalba</t>
  </si>
  <si>
    <t>Yendri Escalona</t>
  </si>
  <si>
    <t>Kellimar Castillo</t>
  </si>
  <si>
    <t>Niliska Alvarado</t>
  </si>
  <si>
    <t>Ivonne Puerta</t>
  </si>
  <si>
    <t>Felicita Mendoza</t>
  </si>
  <si>
    <t>Yudith Escobar</t>
  </si>
  <si>
    <t xml:space="preserve">Vanessa Sanchez </t>
  </si>
  <si>
    <t>Ada Crespo</t>
  </si>
  <si>
    <t>Agne Bazan</t>
  </si>
  <si>
    <t>Rafaela Dominguez</t>
  </si>
  <si>
    <t>Anne Van Denker</t>
  </si>
  <si>
    <t>Scarlet Tovar</t>
  </si>
  <si>
    <t>Heira Sequera</t>
  </si>
  <si>
    <t>Anna Bazan (Musica)</t>
  </si>
  <si>
    <t>Cecilia Colmenarez (FHC)</t>
  </si>
  <si>
    <t>Maria Gabriela Perez (FHC)</t>
  </si>
  <si>
    <t>Richard Salas (EF)</t>
  </si>
  <si>
    <t>Idalmis Rubinetti</t>
  </si>
  <si>
    <t>Elizabeth Ortaz</t>
  </si>
  <si>
    <t>Henry Fuentes</t>
  </si>
  <si>
    <t>Jose Rivero</t>
  </si>
  <si>
    <t>Ibranny Oropeza</t>
  </si>
  <si>
    <t>Robotica</t>
  </si>
  <si>
    <t>Finanzas</t>
  </si>
  <si>
    <t>Elizabeth Bocanegra</t>
  </si>
  <si>
    <t>Primaria</t>
  </si>
  <si>
    <t>Musica</t>
  </si>
  <si>
    <t>Anna Bazan</t>
  </si>
  <si>
    <t xml:space="preserve">Cecilia Colmenarez </t>
  </si>
  <si>
    <t xml:space="preserve">Richard Salas </t>
  </si>
  <si>
    <t xml:space="preserve">Maria Gabriela Perez </t>
  </si>
  <si>
    <t>Matemática</t>
  </si>
  <si>
    <t>Maria D´Lima</t>
  </si>
  <si>
    <t>Jefe Nivel I Etapa</t>
  </si>
  <si>
    <t>Jefe Nivel II Etapa</t>
  </si>
  <si>
    <t>Integral</t>
  </si>
  <si>
    <t>DISTRIBUCIÓN DE CÁTEDRA INICIAL, PRIMARIA Y MEDIA GENERAL AÑO ESCOLAR 2025-2026</t>
  </si>
  <si>
    <t>Riana Esposito</t>
  </si>
  <si>
    <t>Xioileidys Lugo</t>
  </si>
  <si>
    <t>Dolymar Brito</t>
  </si>
  <si>
    <t>Zulay Rodriguez</t>
  </si>
  <si>
    <t>Katiuska Alejos</t>
  </si>
  <si>
    <t>Auxiliar Inicial</t>
  </si>
  <si>
    <t>Jefe Robótica</t>
  </si>
  <si>
    <t>Maria Silva</t>
  </si>
  <si>
    <t>Jefe Nivel Media</t>
  </si>
  <si>
    <t>Jefe área Inglés</t>
  </si>
  <si>
    <t>Alonzo Hernández (Suplente)</t>
  </si>
  <si>
    <t>Carlos Medina (Suplente)</t>
  </si>
  <si>
    <t>Jacobo Cortez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</si>
</sst>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8" xfId="0" applyFont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CCCC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162"/>
  <sheetViews>
    <sheetView tabSelected="1" zoomScaleNormal="100" workbookViewId="0">
      <selection activeCell="Q21" sqref="Q21"/>
    </sheetView>
  </sheetViews>
  <sheetFormatPr baseColWidth="10" defaultColWidth="11" defaultRowHeight="15.75"/>
  <cols>
    <col min="1" max="1" width="4.85546875" customWidth="1"/>
    <col min="2" max="2" width="4.7109375" style="2" customWidth="1"/>
    <col min="4" max="4" width="18" customWidth="1"/>
    <col min="5" max="5" width="19.42578125" customWidth="1"/>
    <col min="6" max="9" width="3.7109375" customWidth="1"/>
    <col min="10" max="10" width="4.140625" customWidth="1"/>
    <col min="11" max="11" width="3.7109375" customWidth="1"/>
    <col min="12" max="12" width="4.140625" customWidth="1"/>
    <col min="13" max="13" width="3.7109375" customWidth="1"/>
    <col min="14" max="14" width="4.85546875" customWidth="1"/>
    <col min="15" max="15" width="3.7109375" customWidth="1"/>
    <col min="16" max="16" width="4.140625" customWidth="1"/>
    <col min="17" max="17" width="3.7109375" style="1" customWidth="1"/>
    <col min="18" max="18" width="4.42578125" style="1" customWidth="1"/>
    <col min="19" max="19" width="3.7109375" style="1" customWidth="1"/>
    <col min="20" max="20" width="4.140625" style="1" customWidth="1"/>
    <col min="21" max="30" width="3.7109375" style="1" customWidth="1"/>
    <col min="31" max="31" width="5.7109375" customWidth="1"/>
    <col min="32" max="32" width="6.42578125" customWidth="1"/>
    <col min="33" max="33" width="5.7109375" customWidth="1"/>
    <col min="34" max="34" width="6.28515625" customWidth="1"/>
    <col min="35" max="35" width="6.28515625" style="4" customWidth="1"/>
    <col min="36" max="36" width="11" style="3"/>
  </cols>
  <sheetData>
    <row r="1" spans="2:38" ht="17.25" thickBot="1">
      <c r="B1" s="122" t="s">
        <v>100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4"/>
    </row>
    <row r="2" spans="2:38" ht="15" customHeight="1">
      <c r="B2" s="106" t="s">
        <v>0</v>
      </c>
      <c r="C2" s="86" t="s">
        <v>1</v>
      </c>
      <c r="D2" s="86"/>
      <c r="E2" s="130" t="s">
        <v>2</v>
      </c>
      <c r="F2" s="88" t="s">
        <v>3</v>
      </c>
      <c r="G2" s="89"/>
      <c r="H2" s="90"/>
      <c r="I2" s="94" t="s">
        <v>4</v>
      </c>
      <c r="J2" s="95"/>
      <c r="K2" s="94" t="s">
        <v>5</v>
      </c>
      <c r="L2" s="95"/>
      <c r="M2" s="94" t="s">
        <v>6</v>
      </c>
      <c r="N2" s="118"/>
      <c r="O2" s="94" t="s">
        <v>7</v>
      </c>
      <c r="P2" s="95"/>
      <c r="Q2" s="94" t="s">
        <v>8</v>
      </c>
      <c r="R2" s="95"/>
      <c r="S2" s="94" t="s">
        <v>9</v>
      </c>
      <c r="T2" s="95"/>
      <c r="U2" s="94" t="s">
        <v>10</v>
      </c>
      <c r="V2" s="95"/>
      <c r="W2" s="94" t="s">
        <v>11</v>
      </c>
      <c r="X2" s="95"/>
      <c r="Y2" s="94" t="s">
        <v>12</v>
      </c>
      <c r="Z2" s="95"/>
      <c r="AA2" s="94" t="s">
        <v>13</v>
      </c>
      <c r="AB2" s="95"/>
      <c r="AC2" s="94" t="s">
        <v>14</v>
      </c>
      <c r="AD2" s="118"/>
      <c r="AE2" s="86" t="s">
        <v>15</v>
      </c>
      <c r="AF2" s="86"/>
      <c r="AG2" s="86"/>
      <c r="AH2" s="86"/>
      <c r="AI2" s="88" t="s">
        <v>16</v>
      </c>
      <c r="AJ2" s="125"/>
    </row>
    <row r="3" spans="2:38" ht="15" customHeight="1">
      <c r="B3" s="106"/>
      <c r="C3" s="87"/>
      <c r="D3" s="87"/>
      <c r="E3" s="130"/>
      <c r="F3" s="88"/>
      <c r="G3" s="89"/>
      <c r="H3" s="90"/>
      <c r="I3" s="94"/>
      <c r="J3" s="95"/>
      <c r="K3" s="94"/>
      <c r="L3" s="95"/>
      <c r="M3" s="94"/>
      <c r="N3" s="118"/>
      <c r="O3" s="94"/>
      <c r="P3" s="95"/>
      <c r="Q3" s="94"/>
      <c r="R3" s="95"/>
      <c r="S3" s="94"/>
      <c r="T3" s="95"/>
      <c r="U3" s="94"/>
      <c r="V3" s="95"/>
      <c r="W3" s="94"/>
      <c r="X3" s="95"/>
      <c r="Y3" s="94"/>
      <c r="Z3" s="95"/>
      <c r="AA3" s="94"/>
      <c r="AB3" s="95"/>
      <c r="AC3" s="94"/>
      <c r="AD3" s="118"/>
      <c r="AE3" s="87"/>
      <c r="AF3" s="87"/>
      <c r="AG3" s="87"/>
      <c r="AH3" s="87"/>
      <c r="AI3" s="88"/>
      <c r="AJ3" s="125"/>
    </row>
    <row r="4" spans="2:38" ht="15" customHeight="1">
      <c r="B4" s="106"/>
      <c r="C4" s="87"/>
      <c r="D4" s="87"/>
      <c r="E4" s="130"/>
      <c r="F4" s="91"/>
      <c r="G4" s="92"/>
      <c r="H4" s="93"/>
      <c r="I4" s="96"/>
      <c r="J4" s="97"/>
      <c r="K4" s="96"/>
      <c r="L4" s="97"/>
      <c r="M4" s="96"/>
      <c r="N4" s="119"/>
      <c r="O4" s="96"/>
      <c r="P4" s="97"/>
      <c r="Q4" s="96"/>
      <c r="R4" s="97"/>
      <c r="S4" s="96"/>
      <c r="T4" s="97"/>
      <c r="U4" s="96"/>
      <c r="V4" s="97"/>
      <c r="W4" s="96"/>
      <c r="X4" s="97"/>
      <c r="Y4" s="96"/>
      <c r="Z4" s="97"/>
      <c r="AA4" s="96"/>
      <c r="AB4" s="97"/>
      <c r="AC4" s="96"/>
      <c r="AD4" s="119"/>
      <c r="AE4" s="87"/>
      <c r="AF4" s="87"/>
      <c r="AG4" s="87"/>
      <c r="AH4" s="87"/>
      <c r="AI4" s="88"/>
      <c r="AJ4" s="125"/>
    </row>
    <row r="5" spans="2:38" ht="33">
      <c r="B5" s="107"/>
      <c r="C5" s="87"/>
      <c r="D5" s="87"/>
      <c r="E5" s="86"/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20</v>
      </c>
      <c r="L5" s="5" t="s">
        <v>21</v>
      </c>
      <c r="M5" s="5" t="s">
        <v>20</v>
      </c>
      <c r="N5" s="5" t="s">
        <v>21</v>
      </c>
      <c r="O5" s="5" t="s">
        <v>20</v>
      </c>
      <c r="P5" s="5" t="s">
        <v>21</v>
      </c>
      <c r="Q5" s="5" t="s">
        <v>20</v>
      </c>
      <c r="R5" s="5" t="s">
        <v>21</v>
      </c>
      <c r="S5" s="5" t="s">
        <v>20</v>
      </c>
      <c r="T5" s="5" t="s">
        <v>21</v>
      </c>
      <c r="U5" s="7" t="s">
        <v>20</v>
      </c>
      <c r="V5" s="7" t="s">
        <v>21</v>
      </c>
      <c r="W5" s="7" t="s">
        <v>20</v>
      </c>
      <c r="X5" s="7" t="s">
        <v>21</v>
      </c>
      <c r="Y5" s="7" t="s">
        <v>20</v>
      </c>
      <c r="Z5" s="7" t="s">
        <v>21</v>
      </c>
      <c r="AA5" s="7" t="s">
        <v>20</v>
      </c>
      <c r="AB5" s="7" t="s">
        <v>21</v>
      </c>
      <c r="AC5" s="7" t="s">
        <v>20</v>
      </c>
      <c r="AD5" s="29" t="s">
        <v>21</v>
      </c>
      <c r="AE5" s="7" t="s">
        <v>22</v>
      </c>
      <c r="AF5" s="8" t="s">
        <v>23</v>
      </c>
      <c r="AG5" s="8" t="s">
        <v>24</v>
      </c>
      <c r="AH5" s="6" t="s">
        <v>25</v>
      </c>
      <c r="AI5" s="91"/>
      <c r="AJ5" s="126"/>
      <c r="AL5">
        <f>SUM(AH6:AI15)</f>
        <v>672</v>
      </c>
    </row>
    <row r="6" spans="2:38" ht="16.5">
      <c r="B6" s="12">
        <v>1</v>
      </c>
      <c r="C6" s="121" t="s">
        <v>51</v>
      </c>
      <c r="D6" s="121"/>
      <c r="E6" s="131" t="s">
        <v>26</v>
      </c>
      <c r="F6" s="27">
        <v>5</v>
      </c>
      <c r="G6" s="27"/>
      <c r="H6" s="27"/>
      <c r="I6" s="27"/>
      <c r="J6" s="27"/>
      <c r="K6" s="27">
        <v>8</v>
      </c>
      <c r="L6" s="27">
        <v>8</v>
      </c>
      <c r="M6" s="27"/>
      <c r="N6" s="27"/>
      <c r="O6" s="27"/>
      <c r="P6" s="27"/>
      <c r="Q6" s="27">
        <v>8</v>
      </c>
      <c r="R6" s="27">
        <v>8</v>
      </c>
      <c r="S6" s="27"/>
      <c r="T6" s="27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>
        <v>3</v>
      </c>
      <c r="AH6" s="26">
        <f>SUM(F6:AD6)</f>
        <v>37</v>
      </c>
      <c r="AI6" s="23">
        <f t="shared" ref="AI6:AI14" si="0">SUM(AE6:AH6)</f>
        <v>40</v>
      </c>
    </row>
    <row r="7" spans="2:38" ht="16.5">
      <c r="B7" s="12">
        <v>2</v>
      </c>
      <c r="C7" s="121" t="s">
        <v>27</v>
      </c>
      <c r="D7" s="121"/>
      <c r="E7" s="131"/>
      <c r="F7" s="27"/>
      <c r="G7" s="27"/>
      <c r="H7" s="27"/>
      <c r="I7" s="27">
        <v>8</v>
      </c>
      <c r="J7" s="27">
        <v>9</v>
      </c>
      <c r="K7" s="27"/>
      <c r="L7" s="27"/>
      <c r="M7" s="27"/>
      <c r="N7" s="27"/>
      <c r="O7" s="27"/>
      <c r="P7" s="27"/>
      <c r="Q7" s="27"/>
      <c r="R7" s="27"/>
      <c r="S7" s="27">
        <v>10</v>
      </c>
      <c r="T7" s="27">
        <v>10</v>
      </c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>
        <v>3</v>
      </c>
      <c r="AH7" s="26">
        <f>SUM(F7:AD7)</f>
        <v>37</v>
      </c>
      <c r="AI7" s="23">
        <f t="shared" si="0"/>
        <v>40</v>
      </c>
    </row>
    <row r="8" spans="2:38" ht="16.5">
      <c r="B8" s="12">
        <v>3</v>
      </c>
      <c r="C8" s="103" t="s">
        <v>62</v>
      </c>
      <c r="D8" s="104"/>
      <c r="E8" s="131"/>
      <c r="F8" s="27"/>
      <c r="G8" s="27">
        <v>4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12"/>
      <c r="V8" s="12">
        <v>12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>
        <v>3</v>
      </c>
      <c r="AH8" s="26">
        <v>16</v>
      </c>
      <c r="AI8" s="23">
        <f t="shared" si="0"/>
        <v>19</v>
      </c>
    </row>
    <row r="9" spans="2:38" ht="16.5">
      <c r="B9" s="12">
        <v>4</v>
      </c>
      <c r="C9" s="103" t="s">
        <v>63</v>
      </c>
      <c r="D9" s="104"/>
      <c r="E9" s="131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12"/>
      <c r="V9" s="12"/>
      <c r="W9" s="12">
        <v>12</v>
      </c>
      <c r="X9" s="12">
        <v>12</v>
      </c>
      <c r="Y9" s="12"/>
      <c r="Z9" s="12"/>
      <c r="AA9" s="12"/>
      <c r="AB9" s="12"/>
      <c r="AC9" s="12">
        <v>13</v>
      </c>
      <c r="AD9" s="12"/>
      <c r="AE9" s="12"/>
      <c r="AF9" s="12"/>
      <c r="AG9" s="12">
        <v>3</v>
      </c>
      <c r="AH9" s="26">
        <f>SUM(F9:AD9)</f>
        <v>37</v>
      </c>
      <c r="AI9" s="23">
        <f t="shared" si="0"/>
        <v>40</v>
      </c>
    </row>
    <row r="10" spans="2:38" ht="16.5">
      <c r="B10" s="43">
        <v>5</v>
      </c>
      <c r="C10" s="103" t="s">
        <v>53</v>
      </c>
      <c r="D10" s="104"/>
      <c r="E10" s="131"/>
      <c r="F10" s="27"/>
      <c r="G10" s="27"/>
      <c r="H10" s="27"/>
      <c r="I10" s="27"/>
      <c r="J10" s="27"/>
      <c r="K10" s="27"/>
      <c r="L10" s="27"/>
      <c r="M10" s="27">
        <v>10</v>
      </c>
      <c r="N10" s="27">
        <v>9</v>
      </c>
      <c r="O10" s="27">
        <v>9</v>
      </c>
      <c r="P10" s="27">
        <v>9</v>
      </c>
      <c r="Q10" s="27"/>
      <c r="R10" s="27"/>
      <c r="S10" s="27"/>
      <c r="T10" s="27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1">
        <v>3</v>
      </c>
      <c r="AH10" s="26">
        <f t="shared" ref="AH10:AH11" si="1">SUM(F10:AD10)</f>
        <v>37</v>
      </c>
      <c r="AI10" s="23">
        <f t="shared" si="0"/>
        <v>40</v>
      </c>
    </row>
    <row r="11" spans="2:38" ht="16.5">
      <c r="B11" s="62">
        <v>6</v>
      </c>
      <c r="C11" s="68" t="s">
        <v>61</v>
      </c>
      <c r="D11" s="69"/>
      <c r="E11" s="131"/>
      <c r="F11" s="10"/>
      <c r="G11" s="10"/>
      <c r="H11" s="10">
        <v>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1">
        <v>12</v>
      </c>
      <c r="V11" s="11"/>
      <c r="W11" s="11"/>
      <c r="X11" s="11"/>
      <c r="Y11" s="11"/>
      <c r="Z11" s="11"/>
      <c r="AA11" s="11"/>
      <c r="AB11" s="11">
        <v>12</v>
      </c>
      <c r="AC11" s="11"/>
      <c r="AD11" s="11">
        <v>12</v>
      </c>
      <c r="AE11" s="11"/>
      <c r="AF11" s="12"/>
      <c r="AG11" s="12">
        <v>3</v>
      </c>
      <c r="AH11" s="9">
        <f t="shared" si="1"/>
        <v>42</v>
      </c>
      <c r="AI11" s="23">
        <f t="shared" si="0"/>
        <v>45</v>
      </c>
    </row>
    <row r="12" spans="2:38" ht="16.5">
      <c r="B12" s="63">
        <v>7</v>
      </c>
      <c r="C12" s="68" t="s">
        <v>52</v>
      </c>
      <c r="D12" s="69"/>
      <c r="E12" s="132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1"/>
      <c r="V12" s="11"/>
      <c r="W12" s="11"/>
      <c r="X12" s="11"/>
      <c r="Y12" s="11">
        <v>12</v>
      </c>
      <c r="Z12" s="11">
        <v>12</v>
      </c>
      <c r="AA12" s="11">
        <v>13</v>
      </c>
      <c r="AB12" s="11"/>
      <c r="AC12" s="11"/>
      <c r="AD12" s="11"/>
      <c r="AE12" s="11"/>
      <c r="AF12" s="12"/>
      <c r="AG12" s="64">
        <v>3</v>
      </c>
      <c r="AH12" s="6">
        <v>40</v>
      </c>
      <c r="AI12" s="65">
        <v>40</v>
      </c>
    </row>
    <row r="13" spans="2:38" ht="16.5">
      <c r="B13" s="11">
        <v>8</v>
      </c>
      <c r="C13" s="102" t="s">
        <v>28</v>
      </c>
      <c r="D13" s="102"/>
      <c r="E13" s="72" t="s">
        <v>29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1">
        <v>4</v>
      </c>
      <c r="V13" s="11">
        <v>4</v>
      </c>
      <c r="W13" s="11">
        <v>6</v>
      </c>
      <c r="X13" s="11">
        <v>6</v>
      </c>
      <c r="Y13" s="11">
        <v>4</v>
      </c>
      <c r="Z13" s="11">
        <v>4</v>
      </c>
      <c r="AA13" s="11"/>
      <c r="AB13" s="11"/>
      <c r="AC13" s="11"/>
      <c r="AD13" s="11"/>
      <c r="AE13" s="11"/>
      <c r="AF13" s="12"/>
      <c r="AG13" s="12">
        <v>3</v>
      </c>
      <c r="AH13" s="9">
        <f>SUM(F13:AD13)</f>
        <v>28</v>
      </c>
      <c r="AI13" s="23">
        <f t="shared" si="0"/>
        <v>31</v>
      </c>
    </row>
    <row r="14" spans="2:38" ht="16.5">
      <c r="B14" s="11">
        <v>9</v>
      </c>
      <c r="C14" s="102" t="s">
        <v>30</v>
      </c>
      <c r="D14" s="102"/>
      <c r="E14" s="8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1"/>
      <c r="V14" s="11"/>
      <c r="W14" s="11"/>
      <c r="X14" s="11"/>
      <c r="Y14" s="11"/>
      <c r="Z14" s="11"/>
      <c r="AA14" s="11">
        <v>4</v>
      </c>
      <c r="AB14" s="11">
        <v>4</v>
      </c>
      <c r="AC14" s="11">
        <v>4</v>
      </c>
      <c r="AD14" s="11">
        <v>4</v>
      </c>
      <c r="AE14" s="11"/>
      <c r="AF14" s="12">
        <v>12</v>
      </c>
      <c r="AG14" s="12"/>
      <c r="AH14" s="9">
        <f>SUM(F14:AD14)</f>
        <v>16</v>
      </c>
      <c r="AI14" s="23">
        <f t="shared" si="0"/>
        <v>28</v>
      </c>
    </row>
    <row r="15" spans="2:38" ht="16.5">
      <c r="B15" s="72">
        <v>10</v>
      </c>
      <c r="C15" s="68" t="s">
        <v>112</v>
      </c>
      <c r="D15" s="69"/>
      <c r="E15" s="14" t="s">
        <v>31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">
        <v>4</v>
      </c>
      <c r="V15" s="11">
        <v>4</v>
      </c>
      <c r="W15" s="11">
        <v>4</v>
      </c>
      <c r="X15" s="11">
        <v>4</v>
      </c>
      <c r="Y15" s="11"/>
      <c r="Z15" s="11"/>
      <c r="AA15" s="11"/>
      <c r="AB15" s="11"/>
      <c r="AC15" s="11"/>
      <c r="AD15" s="11"/>
      <c r="AE15" s="11"/>
      <c r="AF15" s="12"/>
      <c r="AG15" s="83">
        <v>3</v>
      </c>
      <c r="AH15" s="105">
        <v>28</v>
      </c>
      <c r="AI15" s="120">
        <f>SUM(AG15:AH15)</f>
        <v>31</v>
      </c>
    </row>
    <row r="16" spans="2:38" ht="16.5">
      <c r="B16" s="73"/>
      <c r="C16" s="116"/>
      <c r="D16" s="117"/>
      <c r="E16" s="11" t="s">
        <v>32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"/>
      <c r="V16" s="11"/>
      <c r="W16" s="11"/>
      <c r="X16" s="11"/>
      <c r="Y16" s="11"/>
      <c r="Z16" s="11"/>
      <c r="AA16" s="11">
        <v>2</v>
      </c>
      <c r="AB16" s="11">
        <v>2</v>
      </c>
      <c r="AC16" s="11">
        <v>2</v>
      </c>
      <c r="AD16" s="11">
        <v>2</v>
      </c>
      <c r="AE16" s="11"/>
      <c r="AF16" s="12"/>
      <c r="AG16" s="84"/>
      <c r="AH16" s="106"/>
      <c r="AI16" s="120"/>
    </row>
    <row r="17" spans="2:36" ht="16.5">
      <c r="B17" s="82"/>
      <c r="C17" s="70"/>
      <c r="D17" s="71"/>
      <c r="E17" s="11" t="s">
        <v>33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"/>
      <c r="V17" s="11"/>
      <c r="W17" s="11"/>
      <c r="X17" s="11"/>
      <c r="Y17" s="11"/>
      <c r="Z17" s="11"/>
      <c r="AA17" s="11"/>
      <c r="AB17" s="11"/>
      <c r="AC17" s="11">
        <v>2</v>
      </c>
      <c r="AD17" s="11">
        <v>2</v>
      </c>
      <c r="AE17" s="11"/>
      <c r="AF17" s="12"/>
      <c r="AG17" s="85"/>
      <c r="AH17" s="107"/>
      <c r="AI17" s="120"/>
    </row>
    <row r="18" spans="2:36" ht="16.5">
      <c r="B18" s="11">
        <v>11</v>
      </c>
      <c r="C18" s="121" t="s">
        <v>111</v>
      </c>
      <c r="D18" s="121"/>
      <c r="E18" s="11" t="s">
        <v>31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1"/>
      <c r="R18" s="11"/>
      <c r="S18" s="11"/>
      <c r="T18" s="11"/>
      <c r="U18" s="11"/>
      <c r="V18" s="11"/>
      <c r="W18" s="11"/>
      <c r="X18" s="11"/>
      <c r="Y18" s="11">
        <v>4</v>
      </c>
      <c r="Z18" s="11">
        <v>4</v>
      </c>
      <c r="AA18" s="11">
        <v>4</v>
      </c>
      <c r="AB18" s="11">
        <v>4</v>
      </c>
      <c r="AC18" s="11">
        <v>4</v>
      </c>
      <c r="AD18" s="11">
        <v>4</v>
      </c>
      <c r="AE18" s="12"/>
      <c r="AF18" s="12"/>
      <c r="AG18" s="12">
        <v>3</v>
      </c>
      <c r="AH18" s="9">
        <f>SUM(F18:AD18)</f>
        <v>24</v>
      </c>
      <c r="AI18" s="23">
        <f>SUM(AE18:AH18)</f>
        <v>27</v>
      </c>
    </row>
    <row r="19" spans="2:36" ht="16.5">
      <c r="B19" s="11">
        <v>12</v>
      </c>
      <c r="C19" s="103" t="s">
        <v>84</v>
      </c>
      <c r="D19" s="104"/>
      <c r="E19" s="11" t="s">
        <v>59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>
        <v>2</v>
      </c>
      <c r="AB19" s="11">
        <v>2</v>
      </c>
      <c r="AC19" s="11">
        <v>2</v>
      </c>
      <c r="AD19" s="11">
        <v>2</v>
      </c>
      <c r="AE19" s="12"/>
      <c r="AF19" s="12"/>
      <c r="AG19" s="12">
        <v>3</v>
      </c>
      <c r="AH19" s="34">
        <f>SUM(F19:AD19)</f>
        <v>8</v>
      </c>
      <c r="AI19" s="23">
        <v>11</v>
      </c>
    </row>
    <row r="20" spans="2:36" ht="16.5">
      <c r="B20" s="72">
        <v>13</v>
      </c>
      <c r="C20" s="68" t="s">
        <v>88</v>
      </c>
      <c r="D20" s="69"/>
      <c r="E20" s="43" t="s">
        <v>95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>
        <v>4</v>
      </c>
      <c r="V20" s="11">
        <v>4</v>
      </c>
      <c r="W20" s="11">
        <v>6</v>
      </c>
      <c r="X20" s="11">
        <v>6</v>
      </c>
      <c r="Y20" s="11"/>
      <c r="Z20" s="11"/>
      <c r="AA20" s="11"/>
      <c r="AB20" s="11"/>
      <c r="AC20" s="11">
        <v>4</v>
      </c>
      <c r="AD20" s="11">
        <v>4</v>
      </c>
      <c r="AE20" s="11"/>
      <c r="AF20" s="11"/>
      <c r="AG20" s="72">
        <v>3</v>
      </c>
      <c r="AH20" s="105">
        <v>40</v>
      </c>
      <c r="AI20" s="105">
        <f>SUM(AE20:AH20)</f>
        <v>43</v>
      </c>
    </row>
    <row r="21" spans="2:36" ht="16.5">
      <c r="B21" s="82"/>
      <c r="C21" s="70"/>
      <c r="D21" s="71"/>
      <c r="E21" s="43" t="s">
        <v>39</v>
      </c>
      <c r="F21" s="45"/>
      <c r="G21" s="45"/>
      <c r="H21" s="45"/>
      <c r="I21" s="45"/>
      <c r="J21" s="45"/>
      <c r="K21" s="45"/>
      <c r="L21" s="45"/>
      <c r="M21" s="45">
        <v>4</v>
      </c>
      <c r="N21" s="45">
        <v>4</v>
      </c>
      <c r="O21" s="45">
        <v>4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82"/>
      <c r="AH21" s="107"/>
      <c r="AI21" s="107"/>
    </row>
    <row r="22" spans="2:36" ht="16.5">
      <c r="B22" s="11">
        <v>14</v>
      </c>
      <c r="C22" s="121" t="s">
        <v>113</v>
      </c>
      <c r="D22" s="121"/>
      <c r="E22" s="43" t="s">
        <v>95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6"/>
      <c r="R22" s="16"/>
      <c r="S22" s="16"/>
      <c r="T22" s="16"/>
      <c r="U22" s="11"/>
      <c r="V22" s="11"/>
      <c r="W22" s="11"/>
      <c r="X22" s="11"/>
      <c r="Y22" s="11">
        <v>4</v>
      </c>
      <c r="Z22" s="11">
        <v>4</v>
      </c>
      <c r="AA22" s="11">
        <v>4</v>
      </c>
      <c r="AB22" s="11">
        <v>4</v>
      </c>
      <c r="AC22" s="11"/>
      <c r="AD22" s="11"/>
      <c r="AE22" s="12"/>
      <c r="AF22" s="12"/>
      <c r="AG22" s="12"/>
      <c r="AH22" s="9">
        <f>SUM(F22:AD22)</f>
        <v>16</v>
      </c>
      <c r="AI22" s="23">
        <f>SUM(AE22:AH22)</f>
        <v>16</v>
      </c>
    </row>
    <row r="23" spans="2:36" ht="16.5">
      <c r="B23" s="72">
        <v>15</v>
      </c>
      <c r="C23" s="137" t="s">
        <v>85</v>
      </c>
      <c r="D23" s="138"/>
      <c r="E23" s="21" t="s">
        <v>86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6"/>
      <c r="R23" s="16"/>
      <c r="S23" s="16">
        <v>4</v>
      </c>
      <c r="T23" s="16">
        <v>4</v>
      </c>
      <c r="U23" s="31"/>
      <c r="V23" s="31"/>
      <c r="W23" s="31"/>
      <c r="X23" s="31"/>
      <c r="Y23" s="31">
        <v>4</v>
      </c>
      <c r="Z23" s="31">
        <v>4</v>
      </c>
      <c r="AA23" s="31"/>
      <c r="AB23" s="31"/>
      <c r="AC23" s="31"/>
      <c r="AD23" s="31"/>
      <c r="AE23" s="39">
        <v>5</v>
      </c>
      <c r="AF23" s="33"/>
      <c r="AG23" s="83">
        <v>5</v>
      </c>
      <c r="AH23" s="105">
        <v>32</v>
      </c>
      <c r="AI23" s="108">
        <v>42</v>
      </c>
    </row>
    <row r="24" spans="2:36" ht="16.5">
      <c r="B24" s="73"/>
      <c r="C24" s="139"/>
      <c r="D24" s="140"/>
      <c r="E24" s="40" t="s">
        <v>87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6"/>
      <c r="R24" s="16"/>
      <c r="S24" s="16"/>
      <c r="T24" s="16"/>
      <c r="U24" s="37">
        <v>4</v>
      </c>
      <c r="V24" s="37">
        <v>4</v>
      </c>
      <c r="W24" s="37"/>
      <c r="X24" s="37"/>
      <c r="Y24" s="37"/>
      <c r="Z24" s="37"/>
      <c r="AA24" s="37"/>
      <c r="AB24" s="37"/>
      <c r="AC24" s="37"/>
      <c r="AD24" s="37"/>
      <c r="AE24" s="39"/>
      <c r="AF24" s="39"/>
      <c r="AG24" s="84"/>
      <c r="AH24" s="106"/>
      <c r="AI24" s="109"/>
    </row>
    <row r="25" spans="2:36" ht="16.5">
      <c r="B25" s="82"/>
      <c r="C25" s="141"/>
      <c r="D25" s="142"/>
      <c r="E25" s="32" t="s">
        <v>37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6"/>
      <c r="R25" s="16"/>
      <c r="S25" s="16"/>
      <c r="T25" s="16"/>
      <c r="U25" s="31"/>
      <c r="V25" s="31"/>
      <c r="W25" s="31"/>
      <c r="X25" s="31"/>
      <c r="Y25" s="31">
        <v>4</v>
      </c>
      <c r="Z25" s="31">
        <v>4</v>
      </c>
      <c r="AA25" s="31"/>
      <c r="AB25" s="31"/>
      <c r="AC25" s="31"/>
      <c r="AD25" s="31"/>
      <c r="AE25" s="39"/>
      <c r="AF25" s="33"/>
      <c r="AG25" s="85"/>
      <c r="AH25" s="107"/>
      <c r="AI25" s="110"/>
    </row>
    <row r="26" spans="2:36" ht="16.5">
      <c r="B26" s="11">
        <v>16</v>
      </c>
      <c r="C26" s="102" t="s">
        <v>83</v>
      </c>
      <c r="D26" s="102"/>
      <c r="E26" s="17" t="s">
        <v>34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1">
        <v>2</v>
      </c>
      <c r="V26" s="11">
        <v>2</v>
      </c>
      <c r="W26" s="11">
        <v>2</v>
      </c>
      <c r="X26" s="11">
        <v>2</v>
      </c>
      <c r="Y26" s="11">
        <v>4</v>
      </c>
      <c r="Z26" s="11">
        <v>4</v>
      </c>
      <c r="AA26" s="11">
        <v>4</v>
      </c>
      <c r="AB26" s="11">
        <v>4</v>
      </c>
      <c r="AC26" s="11">
        <v>4</v>
      </c>
      <c r="AD26" s="11">
        <v>4</v>
      </c>
      <c r="AE26" s="11"/>
      <c r="AF26" s="11"/>
      <c r="AG26" s="11">
        <v>3</v>
      </c>
      <c r="AH26" s="9">
        <f>SUM(F26:AD26)</f>
        <v>32</v>
      </c>
      <c r="AI26" s="24">
        <f>SUM(AE26:AH26)</f>
        <v>35</v>
      </c>
    </row>
    <row r="27" spans="2:36" s="1" customFormat="1" ht="16.5">
      <c r="B27" s="72">
        <v>17</v>
      </c>
      <c r="C27" s="68" t="s">
        <v>35</v>
      </c>
      <c r="D27" s="69"/>
      <c r="E27" s="11" t="s">
        <v>36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1"/>
      <c r="V27" s="11"/>
      <c r="W27" s="11">
        <v>2</v>
      </c>
      <c r="X27" s="11">
        <v>2</v>
      </c>
      <c r="Y27" s="11">
        <v>4</v>
      </c>
      <c r="Z27" s="11">
        <v>4</v>
      </c>
      <c r="AA27" s="11">
        <v>4</v>
      </c>
      <c r="AB27" s="11">
        <v>4</v>
      </c>
      <c r="AC27" s="11">
        <v>4</v>
      </c>
      <c r="AD27" s="11">
        <v>4</v>
      </c>
      <c r="AE27" s="37"/>
      <c r="AF27" s="11"/>
      <c r="AG27" s="18"/>
      <c r="AH27" s="105">
        <f>SUM(W27:X27:Y27:Z27:AA27:AB27:AC27:AD27:AC28:AD28)</f>
        <v>36</v>
      </c>
      <c r="AI27" s="98">
        <f>SUM(AE27:AH28)</f>
        <v>44</v>
      </c>
      <c r="AJ27" s="25"/>
    </row>
    <row r="28" spans="2:36" s="1" customFormat="1" ht="16.5">
      <c r="B28" s="82"/>
      <c r="C28" s="70"/>
      <c r="D28" s="71"/>
      <c r="E28" s="19" t="s">
        <v>37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1"/>
      <c r="V28" s="11"/>
      <c r="W28" s="11">
        <v>4</v>
      </c>
      <c r="X28" s="11">
        <v>4</v>
      </c>
      <c r="Y28" s="11"/>
      <c r="Z28" s="11"/>
      <c r="AA28" s="11"/>
      <c r="AB28" s="11"/>
      <c r="AC28" s="11"/>
      <c r="AD28" s="11"/>
      <c r="AE28" s="37">
        <v>5</v>
      </c>
      <c r="AF28" s="11"/>
      <c r="AG28" s="11">
        <v>3</v>
      </c>
      <c r="AH28" s="107"/>
      <c r="AI28" s="98"/>
      <c r="AJ28" s="25"/>
    </row>
    <row r="29" spans="2:36" s="1" customFormat="1" ht="18.75" customHeight="1">
      <c r="B29" s="72">
        <v>18</v>
      </c>
      <c r="C29" s="68" t="s">
        <v>38</v>
      </c>
      <c r="D29" s="69"/>
      <c r="E29" s="20" t="s">
        <v>58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1"/>
      <c r="V29" s="11"/>
      <c r="W29" s="11"/>
      <c r="X29" s="11"/>
      <c r="Y29" s="11"/>
      <c r="Z29" s="11"/>
      <c r="AA29" s="11">
        <v>4</v>
      </c>
      <c r="AB29" s="11">
        <v>4</v>
      </c>
      <c r="AC29" s="11">
        <v>4</v>
      </c>
      <c r="AD29" s="11">
        <v>4</v>
      </c>
      <c r="AE29" s="11"/>
      <c r="AF29" s="11"/>
      <c r="AG29" s="72">
        <v>11</v>
      </c>
      <c r="AH29" s="105">
        <f>SUM(U29:V29:Y29:Z29:AC29:AD29:AC31:AD31)</f>
        <v>32</v>
      </c>
      <c r="AI29" s="99">
        <f>SUM(AE29:AH31)</f>
        <v>48</v>
      </c>
      <c r="AJ29" s="25"/>
    </row>
    <row r="30" spans="2:36" s="1" customFormat="1" ht="18.75" customHeight="1">
      <c r="B30" s="73"/>
      <c r="C30" s="116"/>
      <c r="D30" s="117"/>
      <c r="E30" s="20" t="s">
        <v>59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1">
        <v>2</v>
      </c>
      <c r="V30" s="11">
        <v>2</v>
      </c>
      <c r="W30" s="11">
        <v>2</v>
      </c>
      <c r="X30" s="11">
        <v>2</v>
      </c>
      <c r="Y30" s="11">
        <v>2</v>
      </c>
      <c r="Z30" s="11">
        <v>2</v>
      </c>
      <c r="AA30" s="11"/>
      <c r="AB30" s="11"/>
      <c r="AC30" s="11"/>
      <c r="AD30" s="11"/>
      <c r="AE30" s="11"/>
      <c r="AF30" s="11"/>
      <c r="AG30" s="73"/>
      <c r="AH30" s="106"/>
      <c r="AI30" s="100"/>
      <c r="AJ30" s="25"/>
    </row>
    <row r="31" spans="2:36" s="1" customFormat="1" ht="15.75" customHeight="1">
      <c r="B31" s="82"/>
      <c r="C31" s="70"/>
      <c r="D31" s="71"/>
      <c r="E31" s="19" t="s">
        <v>37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1"/>
      <c r="V31" s="11"/>
      <c r="W31" s="11"/>
      <c r="X31" s="11"/>
      <c r="Y31" s="11"/>
      <c r="Z31" s="11"/>
      <c r="AA31" s="11"/>
      <c r="AB31" s="11"/>
      <c r="AC31" s="11">
        <v>2</v>
      </c>
      <c r="AD31" s="11">
        <v>2</v>
      </c>
      <c r="AE31" s="11">
        <v>5</v>
      </c>
      <c r="AF31" s="11"/>
      <c r="AG31" s="82"/>
      <c r="AH31" s="107"/>
      <c r="AI31" s="101"/>
      <c r="AJ31" s="25"/>
    </row>
    <row r="32" spans="2:36" s="1" customFormat="1" ht="15.75" customHeight="1">
      <c r="B32" s="72">
        <v>19</v>
      </c>
      <c r="C32" s="68" t="s">
        <v>40</v>
      </c>
      <c r="D32" s="69"/>
      <c r="E32" s="21" t="s">
        <v>60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1">
        <v>4</v>
      </c>
      <c r="V32" s="11">
        <v>4</v>
      </c>
      <c r="W32" s="11">
        <v>4</v>
      </c>
      <c r="X32" s="11">
        <v>4</v>
      </c>
      <c r="Y32" s="11">
        <v>4</v>
      </c>
      <c r="Z32" s="11">
        <v>4</v>
      </c>
      <c r="AA32" s="11"/>
      <c r="AB32" s="11"/>
      <c r="AC32" s="10"/>
      <c r="AD32" s="10"/>
      <c r="AE32" s="11"/>
      <c r="AF32" s="11"/>
      <c r="AG32" s="72">
        <v>3</v>
      </c>
      <c r="AH32" s="105">
        <f>SUM(U32:V32:Y32:Z32:AC32:AD32:AC33:AD33)</f>
        <v>32</v>
      </c>
      <c r="AI32" s="99">
        <f>SUM(AE32:AH33)</f>
        <v>35</v>
      </c>
      <c r="AJ32" s="25"/>
    </row>
    <row r="33" spans="2:36" s="1" customFormat="1" ht="15.75" customHeight="1">
      <c r="B33" s="73"/>
      <c r="C33" s="70"/>
      <c r="D33" s="71"/>
      <c r="E33" s="19" t="s">
        <v>41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1"/>
      <c r="V33" s="11"/>
      <c r="W33" s="11"/>
      <c r="X33" s="11"/>
      <c r="Y33" s="11"/>
      <c r="Z33" s="11"/>
      <c r="AA33" s="11">
        <v>4</v>
      </c>
      <c r="AB33" s="11">
        <v>4</v>
      </c>
      <c r="AC33" s="11"/>
      <c r="AD33" s="11"/>
      <c r="AE33" s="11"/>
      <c r="AF33" s="11"/>
      <c r="AG33" s="73"/>
      <c r="AH33" s="107"/>
      <c r="AI33" s="101"/>
      <c r="AJ33" s="25"/>
    </row>
    <row r="34" spans="2:36" s="1" customFormat="1" ht="32.25" customHeight="1">
      <c r="B34" s="28">
        <v>20</v>
      </c>
      <c r="C34" s="76" t="s">
        <v>103</v>
      </c>
      <c r="D34" s="77"/>
      <c r="E34" s="21" t="s">
        <v>43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1">
        <v>6</v>
      </c>
      <c r="V34" s="11">
        <v>6</v>
      </c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30">
        <v>3</v>
      </c>
      <c r="AH34" s="9">
        <v>12</v>
      </c>
      <c r="AI34" s="23">
        <v>15</v>
      </c>
      <c r="AJ34" s="25"/>
    </row>
    <row r="35" spans="2:36" s="1" customFormat="1" ht="16.5">
      <c r="B35" s="72">
        <v>21</v>
      </c>
      <c r="C35" s="78" t="s">
        <v>44</v>
      </c>
      <c r="D35" s="79"/>
      <c r="E35" s="21" t="s">
        <v>39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1"/>
      <c r="V35" s="11"/>
      <c r="W35" s="11">
        <v>4</v>
      </c>
      <c r="X35" s="11">
        <v>4</v>
      </c>
      <c r="Y35" s="11"/>
      <c r="Z35" s="11"/>
      <c r="AA35" s="11">
        <v>4</v>
      </c>
      <c r="AB35" s="11">
        <v>4</v>
      </c>
      <c r="AC35" s="11"/>
      <c r="AD35" s="11"/>
      <c r="AE35" s="11"/>
      <c r="AF35" s="11"/>
      <c r="AG35" s="72">
        <v>5</v>
      </c>
      <c r="AH35" s="105">
        <f>SUM(W35:X35:W36:X36:AA35:AB35)</f>
        <v>40</v>
      </c>
      <c r="AI35" s="105">
        <f>SUM(AG35:AH35)</f>
        <v>45</v>
      </c>
      <c r="AJ35" s="145"/>
    </row>
    <row r="36" spans="2:36" s="1" customFormat="1" ht="33" customHeight="1">
      <c r="B36" s="73"/>
      <c r="C36" s="80"/>
      <c r="D36" s="81"/>
      <c r="E36" s="21" t="s">
        <v>43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1"/>
      <c r="V36" s="11"/>
      <c r="W36" s="11">
        <v>6</v>
      </c>
      <c r="X36" s="11">
        <v>6</v>
      </c>
      <c r="Y36" s="11">
        <v>6</v>
      </c>
      <c r="Z36" s="11">
        <v>6</v>
      </c>
      <c r="AA36" s="11"/>
      <c r="AB36" s="11"/>
      <c r="AC36" s="11"/>
      <c r="AD36" s="11"/>
      <c r="AE36" s="11"/>
      <c r="AF36" s="11"/>
      <c r="AG36" s="73"/>
      <c r="AH36" s="107"/>
      <c r="AI36" s="107"/>
      <c r="AJ36" s="146"/>
    </row>
    <row r="37" spans="2:36" s="1" customFormat="1" ht="16.5">
      <c r="B37" s="72">
        <v>22</v>
      </c>
      <c r="C37" s="68" t="s">
        <v>45</v>
      </c>
      <c r="D37" s="69"/>
      <c r="E37" s="10" t="s">
        <v>46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1"/>
      <c r="V37" s="11"/>
      <c r="W37" s="11"/>
      <c r="X37" s="11"/>
      <c r="Y37" s="11"/>
      <c r="Z37" s="11"/>
      <c r="AA37" s="11">
        <v>4</v>
      </c>
      <c r="AB37" s="11">
        <v>4</v>
      </c>
      <c r="AC37" s="11">
        <v>4</v>
      </c>
      <c r="AD37" s="11">
        <v>4</v>
      </c>
      <c r="AE37" s="11"/>
      <c r="AF37" s="11"/>
      <c r="AG37" s="11">
        <v>3</v>
      </c>
      <c r="AH37" s="9">
        <v>24</v>
      </c>
      <c r="AI37" s="24">
        <f>SUM(AG37:AH37)</f>
        <v>27</v>
      </c>
      <c r="AJ37" s="25"/>
    </row>
    <row r="38" spans="2:36" s="1" customFormat="1" ht="16.5">
      <c r="B38" s="82"/>
      <c r="C38" s="70"/>
      <c r="D38" s="71"/>
      <c r="E38" s="38" t="s">
        <v>41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37"/>
      <c r="V38" s="37"/>
      <c r="W38" s="37"/>
      <c r="X38" s="37"/>
      <c r="Y38" s="37"/>
      <c r="Z38" s="37"/>
      <c r="AA38" s="37"/>
      <c r="AB38" s="37"/>
      <c r="AC38" s="37">
        <v>4</v>
      </c>
      <c r="AD38" s="37">
        <v>4</v>
      </c>
      <c r="AE38" s="37"/>
      <c r="AF38" s="37"/>
      <c r="AG38" s="37"/>
      <c r="AH38" s="35"/>
      <c r="AI38" s="36"/>
      <c r="AJ38" s="25"/>
    </row>
    <row r="39" spans="2:36" s="1" customFormat="1" ht="16.5">
      <c r="B39" s="115">
        <v>23</v>
      </c>
      <c r="C39" s="68" t="s">
        <v>47</v>
      </c>
      <c r="D39" s="69"/>
      <c r="E39" s="11" t="s">
        <v>39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>
        <v>4</v>
      </c>
      <c r="Q39" s="16">
        <v>4</v>
      </c>
      <c r="R39" s="16">
        <v>4</v>
      </c>
      <c r="S39" s="16"/>
      <c r="T39" s="16"/>
      <c r="U39" s="11">
        <v>4</v>
      </c>
      <c r="V39" s="11">
        <v>4</v>
      </c>
      <c r="W39" s="11"/>
      <c r="X39" s="11"/>
      <c r="Y39" s="30"/>
      <c r="Z39" s="30"/>
      <c r="AA39" s="11"/>
      <c r="AB39" s="11"/>
      <c r="AC39" s="11">
        <v>4</v>
      </c>
      <c r="AD39" s="11">
        <v>4</v>
      </c>
      <c r="AE39" s="11"/>
      <c r="AF39" s="11"/>
      <c r="AG39" s="18"/>
      <c r="AH39" s="105">
        <v>32</v>
      </c>
      <c r="AI39" s="98">
        <f>SUM(AE39:AH40)</f>
        <v>37</v>
      </c>
      <c r="AJ39" s="25"/>
    </row>
    <row r="40" spans="2:36" s="1" customFormat="1" ht="16.5">
      <c r="B40" s="115"/>
      <c r="C40" s="116"/>
      <c r="D40" s="117"/>
      <c r="E40" s="10" t="s">
        <v>36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1">
        <v>2</v>
      </c>
      <c r="V40" s="11">
        <v>2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>
        <v>5</v>
      </c>
      <c r="AH40" s="107"/>
      <c r="AI40" s="98"/>
      <c r="AJ40" s="25"/>
    </row>
    <row r="41" spans="2:36" s="1" customFormat="1" ht="15.75" customHeight="1">
      <c r="B41" s="115">
        <v>24</v>
      </c>
      <c r="C41" s="133" t="s">
        <v>49</v>
      </c>
      <c r="D41" s="134"/>
      <c r="E41" s="51" t="s">
        <v>48</v>
      </c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9"/>
      <c r="R41" s="49"/>
      <c r="S41" s="49"/>
      <c r="T41" s="49"/>
      <c r="U41" s="49">
        <v>4</v>
      </c>
      <c r="V41" s="49">
        <v>4</v>
      </c>
      <c r="W41" s="49">
        <v>4</v>
      </c>
      <c r="X41" s="49">
        <v>4</v>
      </c>
      <c r="Y41" s="49">
        <v>4</v>
      </c>
      <c r="Z41" s="49">
        <v>4</v>
      </c>
      <c r="AA41" s="49">
        <v>4</v>
      </c>
      <c r="AB41" s="49">
        <v>4</v>
      </c>
      <c r="AC41" s="49">
        <v>4</v>
      </c>
      <c r="AD41" s="49">
        <v>4</v>
      </c>
      <c r="AE41" s="49">
        <v>5</v>
      </c>
      <c r="AF41" s="49"/>
      <c r="AG41" s="74">
        <v>3</v>
      </c>
      <c r="AH41" s="112">
        <f>SUM(Q41:R41:S41:T41:AA41:AB41:AC41:AD41:AB41:AD42:AC42)</f>
        <v>48</v>
      </c>
      <c r="AI41" s="114">
        <f>SUM(AE41:AH41)</f>
        <v>56</v>
      </c>
      <c r="AJ41" s="25"/>
    </row>
    <row r="42" spans="2:36" s="1" customFormat="1" ht="15.75" customHeight="1">
      <c r="B42" s="115"/>
      <c r="C42" s="135"/>
      <c r="D42" s="136"/>
      <c r="E42" s="50" t="s">
        <v>42</v>
      </c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9">
        <v>4</v>
      </c>
      <c r="V42" s="49">
        <v>4</v>
      </c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75"/>
      <c r="AH42" s="113"/>
      <c r="AI42" s="114"/>
      <c r="AJ42" s="25"/>
    </row>
    <row r="43" spans="2:36" s="1" customFormat="1" ht="15.75" customHeight="1">
      <c r="B43" s="45">
        <v>25</v>
      </c>
      <c r="C43" s="66" t="s">
        <v>64</v>
      </c>
      <c r="D43" s="67" t="s">
        <v>64</v>
      </c>
      <c r="E43" s="44" t="s">
        <v>3</v>
      </c>
      <c r="F43" s="16">
        <v>40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2">
        <v>3</v>
      </c>
      <c r="AH43" s="46">
        <v>37</v>
      </c>
      <c r="AI43" s="41">
        <v>40</v>
      </c>
      <c r="AJ43" s="47" t="s">
        <v>99</v>
      </c>
    </row>
    <row r="44" spans="2:36" s="1" customFormat="1" ht="15.75" customHeight="1">
      <c r="B44" s="45">
        <v>26</v>
      </c>
      <c r="C44" s="66" t="s">
        <v>66</v>
      </c>
      <c r="D44" s="67" t="s">
        <v>66</v>
      </c>
      <c r="E44" s="44" t="s">
        <v>3</v>
      </c>
      <c r="F44" s="16"/>
      <c r="G44" s="16">
        <v>40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2">
        <v>3</v>
      </c>
      <c r="AH44" s="46">
        <v>37</v>
      </c>
      <c r="AI44" s="41">
        <v>40</v>
      </c>
      <c r="AJ44" s="47" t="s">
        <v>99</v>
      </c>
    </row>
    <row r="45" spans="2:36" s="1" customFormat="1" ht="15.75" customHeight="1">
      <c r="B45" s="56">
        <v>27</v>
      </c>
      <c r="C45" s="66" t="s">
        <v>65</v>
      </c>
      <c r="D45" s="67" t="s">
        <v>65</v>
      </c>
      <c r="E45" s="55" t="s">
        <v>3</v>
      </c>
      <c r="F45" s="16"/>
      <c r="G45" s="16"/>
      <c r="H45" s="16">
        <v>40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2">
        <v>3</v>
      </c>
      <c r="AH45" s="53">
        <v>37</v>
      </c>
      <c r="AI45" s="54">
        <v>40</v>
      </c>
      <c r="AJ45" s="47" t="s">
        <v>99</v>
      </c>
    </row>
    <row r="46" spans="2:36" s="1" customFormat="1" ht="15.75" customHeight="1">
      <c r="B46" s="45">
        <v>28</v>
      </c>
      <c r="C46" s="66" t="s">
        <v>105</v>
      </c>
      <c r="D46" s="67"/>
      <c r="E46" s="44" t="s">
        <v>106</v>
      </c>
      <c r="F46" s="16"/>
      <c r="G46" s="16"/>
      <c r="H46" s="16">
        <v>40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2">
        <v>3</v>
      </c>
      <c r="AH46" s="46">
        <v>37</v>
      </c>
      <c r="AI46" s="41">
        <v>40</v>
      </c>
      <c r="AJ46" s="47" t="s">
        <v>99</v>
      </c>
    </row>
    <row r="47" spans="2:36" s="1" customFormat="1" ht="15.75" customHeight="1">
      <c r="B47" s="45">
        <v>29</v>
      </c>
      <c r="C47" s="66" t="s">
        <v>70</v>
      </c>
      <c r="D47" s="67" t="s">
        <v>70</v>
      </c>
      <c r="E47" s="44" t="s">
        <v>89</v>
      </c>
      <c r="F47" s="16"/>
      <c r="G47" s="16"/>
      <c r="H47" s="16"/>
      <c r="I47" s="16">
        <v>40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2">
        <v>3</v>
      </c>
      <c r="AH47" s="46">
        <v>37</v>
      </c>
      <c r="AI47" s="41">
        <v>40</v>
      </c>
      <c r="AJ47" s="47" t="s">
        <v>99</v>
      </c>
    </row>
    <row r="48" spans="2:36" s="1" customFormat="1" ht="15.75" customHeight="1">
      <c r="B48" s="45">
        <v>30</v>
      </c>
      <c r="C48" s="66" t="s">
        <v>67</v>
      </c>
      <c r="D48" s="67" t="s">
        <v>67</v>
      </c>
      <c r="E48" s="44" t="s">
        <v>89</v>
      </c>
      <c r="F48" s="16"/>
      <c r="G48" s="16"/>
      <c r="H48" s="16"/>
      <c r="I48" s="16"/>
      <c r="J48" s="16">
        <v>40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2">
        <v>3</v>
      </c>
      <c r="AH48" s="46">
        <v>37</v>
      </c>
      <c r="AI48" s="41">
        <v>40</v>
      </c>
      <c r="AJ48" s="47" t="s">
        <v>99</v>
      </c>
    </row>
    <row r="49" spans="2:36" s="1" customFormat="1" ht="15.75" customHeight="1">
      <c r="B49" s="45">
        <v>31</v>
      </c>
      <c r="C49" s="66" t="s">
        <v>68</v>
      </c>
      <c r="D49" s="67" t="s">
        <v>68</v>
      </c>
      <c r="E49" s="44" t="s">
        <v>89</v>
      </c>
      <c r="F49" s="16"/>
      <c r="G49" s="16"/>
      <c r="H49" s="16"/>
      <c r="I49" s="16"/>
      <c r="J49" s="16"/>
      <c r="K49" s="16">
        <v>40</v>
      </c>
      <c r="L49" s="16"/>
      <c r="M49" s="16"/>
      <c r="N49" s="16"/>
      <c r="O49" s="16"/>
      <c r="P49" s="16"/>
      <c r="Q49" s="16"/>
      <c r="R49" s="16"/>
      <c r="S49" s="16"/>
      <c r="T49" s="16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2">
        <v>3</v>
      </c>
      <c r="AH49" s="46">
        <v>37</v>
      </c>
      <c r="AI49" s="41">
        <v>40</v>
      </c>
      <c r="AJ49" s="47" t="s">
        <v>99</v>
      </c>
    </row>
    <row r="50" spans="2:36" s="1" customFormat="1" ht="15.75" customHeight="1">
      <c r="B50" s="45">
        <v>32</v>
      </c>
      <c r="C50" s="66" t="s">
        <v>69</v>
      </c>
      <c r="D50" s="67" t="s">
        <v>69</v>
      </c>
      <c r="E50" s="44" t="s">
        <v>89</v>
      </c>
      <c r="F50" s="16"/>
      <c r="G50" s="16"/>
      <c r="H50" s="16"/>
      <c r="I50" s="16"/>
      <c r="J50" s="16"/>
      <c r="K50" s="16"/>
      <c r="L50" s="16">
        <v>40</v>
      </c>
      <c r="M50" s="16"/>
      <c r="N50" s="16"/>
      <c r="O50" s="16"/>
      <c r="P50" s="16"/>
      <c r="Q50" s="16"/>
      <c r="R50" s="16"/>
      <c r="S50" s="16"/>
      <c r="T50" s="16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2">
        <v>3</v>
      </c>
      <c r="AH50" s="46">
        <v>37</v>
      </c>
      <c r="AI50" s="41">
        <v>40</v>
      </c>
      <c r="AJ50" s="47" t="s">
        <v>99</v>
      </c>
    </row>
    <row r="51" spans="2:36" s="1" customFormat="1" ht="15.75" customHeight="1">
      <c r="B51" s="45">
        <v>33</v>
      </c>
      <c r="C51" s="66" t="s">
        <v>101</v>
      </c>
      <c r="D51" s="67"/>
      <c r="E51" s="44" t="s">
        <v>89</v>
      </c>
      <c r="F51" s="16"/>
      <c r="G51" s="16"/>
      <c r="H51" s="16"/>
      <c r="I51" s="16"/>
      <c r="J51" s="16"/>
      <c r="K51" s="16"/>
      <c r="L51" s="16"/>
      <c r="M51" s="16">
        <v>40</v>
      </c>
      <c r="N51" s="16"/>
      <c r="O51" s="16"/>
      <c r="P51" s="16"/>
      <c r="Q51" s="16"/>
      <c r="R51" s="16"/>
      <c r="S51" s="16"/>
      <c r="T51" s="16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2">
        <v>3</v>
      </c>
      <c r="AH51" s="46">
        <v>37</v>
      </c>
      <c r="AI51" s="41">
        <v>40</v>
      </c>
      <c r="AJ51" s="47" t="s">
        <v>99</v>
      </c>
    </row>
    <row r="52" spans="2:36" s="1" customFormat="1" ht="15.75" customHeight="1">
      <c r="B52" s="45">
        <v>34</v>
      </c>
      <c r="C52" s="66" t="s">
        <v>71</v>
      </c>
      <c r="D52" s="67" t="s">
        <v>71</v>
      </c>
      <c r="E52" s="44" t="s">
        <v>89</v>
      </c>
      <c r="F52" s="16"/>
      <c r="G52" s="16"/>
      <c r="H52" s="16"/>
      <c r="I52" s="16"/>
      <c r="J52" s="16"/>
      <c r="K52" s="16"/>
      <c r="L52" s="16"/>
      <c r="M52" s="16"/>
      <c r="N52" s="16">
        <v>40</v>
      </c>
      <c r="O52" s="16"/>
      <c r="P52" s="16"/>
      <c r="Q52" s="16"/>
      <c r="R52" s="16"/>
      <c r="S52" s="16"/>
      <c r="T52" s="16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2">
        <v>3</v>
      </c>
      <c r="AH52" s="46">
        <v>37</v>
      </c>
      <c r="AI52" s="41">
        <v>40</v>
      </c>
      <c r="AJ52" s="47" t="s">
        <v>99</v>
      </c>
    </row>
    <row r="53" spans="2:36" s="1" customFormat="1" ht="15.75" customHeight="1">
      <c r="B53" s="45">
        <v>35</v>
      </c>
      <c r="C53" s="66" t="s">
        <v>72</v>
      </c>
      <c r="D53" s="67" t="s">
        <v>72</v>
      </c>
      <c r="E53" s="44" t="s">
        <v>89</v>
      </c>
      <c r="F53" s="16"/>
      <c r="G53" s="16"/>
      <c r="H53" s="16"/>
      <c r="I53" s="16"/>
      <c r="J53" s="16"/>
      <c r="K53" s="16"/>
      <c r="L53" s="16"/>
      <c r="M53" s="16"/>
      <c r="N53" s="16"/>
      <c r="O53" s="16">
        <v>40</v>
      </c>
      <c r="P53" s="16"/>
      <c r="Q53" s="16"/>
      <c r="R53" s="16"/>
      <c r="S53" s="16"/>
      <c r="T53" s="16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2">
        <v>3</v>
      </c>
      <c r="AH53" s="46">
        <v>37</v>
      </c>
      <c r="AI53" s="41">
        <v>40</v>
      </c>
      <c r="AJ53" s="47" t="s">
        <v>99</v>
      </c>
    </row>
    <row r="54" spans="2:36" s="1" customFormat="1" ht="15.75" customHeight="1">
      <c r="B54" s="45">
        <v>36</v>
      </c>
      <c r="C54" s="66" t="s">
        <v>73</v>
      </c>
      <c r="D54" s="67" t="s">
        <v>73</v>
      </c>
      <c r="E54" s="44" t="s">
        <v>89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>
        <v>40</v>
      </c>
      <c r="Q54" s="16"/>
      <c r="R54" s="16"/>
      <c r="S54" s="16"/>
      <c r="T54" s="16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2">
        <v>3</v>
      </c>
      <c r="AH54" s="46">
        <v>37</v>
      </c>
      <c r="AI54" s="41">
        <v>40</v>
      </c>
      <c r="AJ54" s="47" t="s">
        <v>99</v>
      </c>
    </row>
    <row r="55" spans="2:36" s="1" customFormat="1" ht="15.75" customHeight="1">
      <c r="B55" s="45">
        <v>37</v>
      </c>
      <c r="C55" s="66" t="s">
        <v>102</v>
      </c>
      <c r="D55" s="67"/>
      <c r="E55" s="44" t="s">
        <v>89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>
        <v>40</v>
      </c>
      <c r="R55" s="16"/>
      <c r="S55" s="16"/>
      <c r="T55" s="16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2">
        <v>3</v>
      </c>
      <c r="AH55" s="46">
        <v>37</v>
      </c>
      <c r="AI55" s="41">
        <v>40</v>
      </c>
      <c r="AJ55" s="47" t="s">
        <v>99</v>
      </c>
    </row>
    <row r="56" spans="2:36" s="1" customFormat="1" ht="15.75" customHeight="1">
      <c r="B56" s="45">
        <v>38</v>
      </c>
      <c r="C56" s="66" t="s">
        <v>74</v>
      </c>
      <c r="D56" s="67" t="s">
        <v>74</v>
      </c>
      <c r="E56" s="44" t="s">
        <v>89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>
        <v>40</v>
      </c>
      <c r="S56" s="16"/>
      <c r="T56" s="16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2">
        <v>3</v>
      </c>
      <c r="AH56" s="46">
        <v>37</v>
      </c>
      <c r="AI56" s="41">
        <v>40</v>
      </c>
      <c r="AJ56" s="47" t="s">
        <v>99</v>
      </c>
    </row>
    <row r="57" spans="2:36" s="1" customFormat="1" ht="15.75" customHeight="1">
      <c r="B57" s="45">
        <v>39</v>
      </c>
      <c r="C57" s="66" t="s">
        <v>75</v>
      </c>
      <c r="D57" s="67" t="s">
        <v>75</v>
      </c>
      <c r="E57" s="44" t="s">
        <v>89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>
        <v>40</v>
      </c>
      <c r="T57" s="16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2">
        <v>3</v>
      </c>
      <c r="AH57" s="46">
        <v>37</v>
      </c>
      <c r="AI57" s="41">
        <v>40</v>
      </c>
      <c r="AJ57" s="47" t="s">
        <v>99</v>
      </c>
    </row>
    <row r="58" spans="2:36" s="1" customFormat="1" ht="15.75" customHeight="1">
      <c r="B58" s="45">
        <v>40</v>
      </c>
      <c r="C58" s="66" t="s">
        <v>76</v>
      </c>
      <c r="D58" s="67" t="s">
        <v>76</v>
      </c>
      <c r="E58" s="44" t="s">
        <v>89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>
        <v>40</v>
      </c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2">
        <v>3</v>
      </c>
      <c r="AH58" s="46">
        <v>37</v>
      </c>
      <c r="AI58" s="41">
        <v>40</v>
      </c>
      <c r="AJ58" s="47" t="s">
        <v>99</v>
      </c>
    </row>
    <row r="59" spans="2:36" s="1" customFormat="1" ht="15.75" customHeight="1">
      <c r="B59" s="45">
        <v>41</v>
      </c>
      <c r="C59" s="66" t="s">
        <v>91</v>
      </c>
      <c r="D59" s="67" t="s">
        <v>77</v>
      </c>
      <c r="E59" s="44" t="s">
        <v>90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2">
        <v>3</v>
      </c>
      <c r="AH59" s="46">
        <v>37</v>
      </c>
      <c r="AI59" s="41">
        <v>40</v>
      </c>
      <c r="AJ59" s="47" t="s">
        <v>99</v>
      </c>
    </row>
    <row r="60" spans="2:36" s="1" customFormat="1" ht="15.75" customHeight="1">
      <c r="B60" s="45">
        <v>42</v>
      </c>
      <c r="C60" s="66" t="s">
        <v>92</v>
      </c>
      <c r="D60" s="67" t="s">
        <v>78</v>
      </c>
      <c r="E60" s="44" t="s">
        <v>59</v>
      </c>
      <c r="F60" s="16"/>
      <c r="G60" s="16"/>
      <c r="H60" s="16"/>
      <c r="I60" s="16">
        <v>2</v>
      </c>
      <c r="J60" s="16">
        <v>2</v>
      </c>
      <c r="K60" s="16">
        <v>2</v>
      </c>
      <c r="L60" s="16">
        <v>2</v>
      </c>
      <c r="M60" s="16">
        <v>2</v>
      </c>
      <c r="N60" s="16">
        <v>2</v>
      </c>
      <c r="O60" s="16"/>
      <c r="P60" s="16"/>
      <c r="Q60" s="16"/>
      <c r="R60" s="16"/>
      <c r="S60" s="16"/>
      <c r="T60" s="16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2">
        <v>3</v>
      </c>
      <c r="AH60" s="46">
        <v>12</v>
      </c>
      <c r="AI60" s="41">
        <v>15</v>
      </c>
      <c r="AJ60" s="25"/>
    </row>
    <row r="61" spans="2:36" s="1" customFormat="1" ht="15.75" customHeight="1">
      <c r="B61" s="45">
        <v>43</v>
      </c>
      <c r="C61" s="66" t="s">
        <v>94</v>
      </c>
      <c r="D61" s="67" t="s">
        <v>79</v>
      </c>
      <c r="E61" s="44" t="s">
        <v>59</v>
      </c>
      <c r="F61" s="16"/>
      <c r="G61" s="16"/>
      <c r="H61" s="16"/>
      <c r="I61" s="16"/>
      <c r="J61" s="16"/>
      <c r="K61" s="16"/>
      <c r="L61" s="16"/>
      <c r="M61" s="16"/>
      <c r="N61" s="16"/>
      <c r="O61" s="16">
        <v>2</v>
      </c>
      <c r="P61" s="16">
        <v>2</v>
      </c>
      <c r="Q61" s="16">
        <v>2</v>
      </c>
      <c r="R61" s="16">
        <v>2</v>
      </c>
      <c r="S61" s="16">
        <v>2</v>
      </c>
      <c r="T61" s="16">
        <v>2</v>
      </c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2">
        <v>3</v>
      </c>
      <c r="AH61" s="46">
        <v>12</v>
      </c>
      <c r="AI61" s="41">
        <v>15</v>
      </c>
      <c r="AJ61" s="25"/>
    </row>
    <row r="62" spans="2:36" s="1" customFormat="1" ht="15.75" customHeight="1">
      <c r="B62" s="45">
        <v>44</v>
      </c>
      <c r="C62" s="66" t="s">
        <v>93</v>
      </c>
      <c r="D62" s="67" t="s">
        <v>80</v>
      </c>
      <c r="E62" s="44" t="s">
        <v>48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2">
        <v>3</v>
      </c>
      <c r="AH62" s="46">
        <v>45</v>
      </c>
      <c r="AI62" s="41">
        <v>48</v>
      </c>
      <c r="AJ62" s="47" t="s">
        <v>99</v>
      </c>
    </row>
    <row r="63" spans="2:36" s="1" customFormat="1" ht="15.75" customHeight="1">
      <c r="B63" s="45">
        <v>45</v>
      </c>
      <c r="C63" s="66" t="s">
        <v>96</v>
      </c>
      <c r="D63" s="67"/>
      <c r="E63" s="44" t="s">
        <v>107</v>
      </c>
      <c r="F63" s="16">
        <v>2</v>
      </c>
      <c r="G63" s="16">
        <v>2</v>
      </c>
      <c r="H63" s="16">
        <v>2</v>
      </c>
      <c r="I63" s="16">
        <v>4</v>
      </c>
      <c r="J63" s="16">
        <v>4</v>
      </c>
      <c r="K63" s="16">
        <v>4</v>
      </c>
      <c r="L63" s="16">
        <v>4</v>
      </c>
      <c r="M63" s="16"/>
      <c r="N63" s="16"/>
      <c r="O63" s="16"/>
      <c r="P63" s="16"/>
      <c r="Q63" s="16"/>
      <c r="R63" s="16"/>
      <c r="S63" s="16"/>
      <c r="T63" s="16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2">
        <v>20</v>
      </c>
      <c r="AH63" s="46">
        <v>22</v>
      </c>
      <c r="AI63" s="41">
        <v>42</v>
      </c>
      <c r="AJ63" s="25"/>
    </row>
    <row r="64" spans="2:36" s="1" customFormat="1" ht="15.75" customHeight="1">
      <c r="B64" s="45">
        <v>46</v>
      </c>
      <c r="C64" s="66" t="s">
        <v>81</v>
      </c>
      <c r="D64" s="67"/>
      <c r="E64" s="44" t="s">
        <v>97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2">
        <v>40</v>
      </c>
      <c r="AH64" s="46"/>
      <c r="AI64" s="41">
        <v>40</v>
      </c>
      <c r="AJ64" s="47" t="s">
        <v>99</v>
      </c>
    </row>
    <row r="65" spans="2:36" s="1" customFormat="1" ht="15.75" customHeight="1">
      <c r="B65" s="45">
        <v>47</v>
      </c>
      <c r="C65" s="66" t="s">
        <v>82</v>
      </c>
      <c r="D65" s="67"/>
      <c r="E65" s="44" t="s">
        <v>98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2">
        <v>40</v>
      </c>
      <c r="AH65" s="46"/>
      <c r="AI65" s="41">
        <v>40</v>
      </c>
      <c r="AJ65" s="47" t="s">
        <v>99</v>
      </c>
    </row>
    <row r="66" spans="2:36" s="1" customFormat="1" ht="15.75" customHeight="1">
      <c r="B66" s="60">
        <v>48</v>
      </c>
      <c r="C66" s="66" t="s">
        <v>108</v>
      </c>
      <c r="D66" s="67"/>
      <c r="E66" s="61" t="s">
        <v>109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57">
        <v>40</v>
      </c>
      <c r="AH66" s="58"/>
      <c r="AI66" s="59">
        <v>40</v>
      </c>
      <c r="AJ66" s="47"/>
    </row>
    <row r="67" spans="2:36" s="1" customFormat="1" ht="15.75" customHeight="1">
      <c r="B67" s="45">
        <v>49</v>
      </c>
      <c r="C67" s="66" t="s">
        <v>104</v>
      </c>
      <c r="D67" s="67"/>
      <c r="E67" s="44" t="s">
        <v>110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2">
        <v>40</v>
      </c>
      <c r="AH67" s="46"/>
      <c r="AI67" s="41">
        <v>40</v>
      </c>
      <c r="AJ67" s="47" t="s">
        <v>99</v>
      </c>
    </row>
    <row r="68" spans="2:36" ht="16.5">
      <c r="B68" s="13"/>
      <c r="C68" s="111" t="s">
        <v>50</v>
      </c>
      <c r="D68" s="111"/>
      <c r="E68" s="22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6"/>
      <c r="R68" s="6"/>
      <c r="S68" s="6"/>
      <c r="T68" s="6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>
        <f>SUM(AE6:AE42)</f>
        <v>20</v>
      </c>
      <c r="AF68" s="13">
        <f>SUM(AF6:AF67)</f>
        <v>12</v>
      </c>
      <c r="AG68" s="13">
        <f>SUM(AG6:AG67)</f>
        <v>320</v>
      </c>
      <c r="AH68" s="13">
        <f>SUM(AH6:AH67)</f>
        <v>1446</v>
      </c>
      <c r="AI68" s="23">
        <f>SUM(AI6:AI67)</f>
        <v>1795</v>
      </c>
    </row>
    <row r="69" spans="2:36">
      <c r="AJ69"/>
    </row>
    <row r="70" spans="2:36">
      <c r="E70" s="128" t="s">
        <v>55</v>
      </c>
      <c r="F70" s="129"/>
      <c r="G70" s="129"/>
      <c r="H70" s="129"/>
      <c r="I70" s="129"/>
      <c r="J70" s="129"/>
      <c r="Q70" s="143" t="s">
        <v>57</v>
      </c>
      <c r="R70" s="144"/>
      <c r="S70" s="144"/>
      <c r="T70" s="144"/>
      <c r="U70" s="144"/>
      <c r="V70" s="144"/>
      <c r="W70" s="144"/>
      <c r="X70" s="144"/>
      <c r="AJ70"/>
    </row>
    <row r="71" spans="2:36" ht="30" customHeight="1">
      <c r="E71" s="127" t="s">
        <v>54</v>
      </c>
      <c r="F71" s="127"/>
      <c r="G71" s="127"/>
      <c r="H71" s="127"/>
      <c r="I71" s="127"/>
      <c r="J71" s="127"/>
      <c r="K71" s="127"/>
      <c r="O71" s="127" t="s">
        <v>56</v>
      </c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AJ71"/>
    </row>
    <row r="72" spans="2:36" ht="15.75" customHeight="1">
      <c r="AJ72"/>
    </row>
    <row r="73" spans="2:36">
      <c r="AJ73"/>
    </row>
    <row r="74" spans="2:36">
      <c r="AJ74"/>
    </row>
    <row r="75" spans="2:36">
      <c r="AJ75"/>
    </row>
    <row r="76" spans="2:36">
      <c r="AJ76"/>
    </row>
    <row r="77" spans="2:36">
      <c r="AJ77"/>
    </row>
    <row r="78" spans="2:36">
      <c r="AJ78"/>
    </row>
    <row r="79" spans="2:36">
      <c r="AJ79"/>
    </row>
    <row r="80" spans="2:36">
      <c r="AJ80"/>
    </row>
    <row r="81" spans="36:36">
      <c r="AJ81"/>
    </row>
    <row r="82" spans="36:36">
      <c r="AJ82"/>
    </row>
    <row r="83" spans="36:36">
      <c r="AJ83"/>
    </row>
    <row r="84" spans="36:36">
      <c r="AJ84"/>
    </row>
    <row r="85" spans="36:36">
      <c r="AJ85"/>
    </row>
    <row r="86" spans="36:36">
      <c r="AJ86"/>
    </row>
    <row r="87" spans="36:36">
      <c r="AJ87"/>
    </row>
    <row r="88" spans="36:36">
      <c r="AJ88"/>
    </row>
    <row r="89" spans="36:36">
      <c r="AJ89"/>
    </row>
    <row r="90" spans="36:36">
      <c r="AJ90"/>
    </row>
    <row r="91" spans="36:36">
      <c r="AJ91"/>
    </row>
    <row r="92" spans="36:36">
      <c r="AJ92"/>
    </row>
    <row r="93" spans="36:36">
      <c r="AJ93"/>
    </row>
    <row r="94" spans="36:36">
      <c r="AJ94"/>
    </row>
    <row r="95" spans="36:36">
      <c r="AJ95"/>
    </row>
    <row r="96" spans="36:36">
      <c r="AJ96"/>
    </row>
    <row r="97" spans="36:36">
      <c r="AJ97"/>
    </row>
    <row r="98" spans="36:36">
      <c r="AJ98"/>
    </row>
    <row r="99" spans="36:36">
      <c r="AJ99"/>
    </row>
    <row r="100" spans="36:36">
      <c r="AJ100"/>
    </row>
    <row r="101" spans="36:36">
      <c r="AJ101"/>
    </row>
    <row r="102" spans="36:36">
      <c r="AJ102"/>
    </row>
    <row r="103" spans="36:36">
      <c r="AJ103"/>
    </row>
    <row r="104" spans="36:36">
      <c r="AJ104"/>
    </row>
    <row r="105" spans="36:36">
      <c r="AJ105"/>
    </row>
    <row r="106" spans="36:36">
      <c r="AJ106"/>
    </row>
    <row r="107" spans="36:36">
      <c r="AJ107"/>
    </row>
    <row r="108" spans="36:36">
      <c r="AJ108"/>
    </row>
    <row r="109" spans="36:36">
      <c r="AJ109"/>
    </row>
    <row r="110" spans="36:36">
      <c r="AJ110"/>
    </row>
    <row r="111" spans="36:36">
      <c r="AJ111"/>
    </row>
    <row r="112" spans="36:36">
      <c r="AJ112"/>
    </row>
    <row r="113" spans="36:36">
      <c r="AJ113"/>
    </row>
    <row r="114" spans="36:36">
      <c r="AJ114"/>
    </row>
    <row r="115" spans="36:36">
      <c r="AJ115"/>
    </row>
    <row r="116" spans="36:36">
      <c r="AJ116"/>
    </row>
    <row r="117" spans="36:36">
      <c r="AJ117"/>
    </row>
    <row r="118" spans="36:36">
      <c r="AJ118"/>
    </row>
    <row r="119" spans="36:36">
      <c r="AJ119"/>
    </row>
    <row r="120" spans="36:36">
      <c r="AJ120"/>
    </row>
    <row r="121" spans="36:36">
      <c r="AJ121"/>
    </row>
    <row r="122" spans="36:36">
      <c r="AJ122"/>
    </row>
    <row r="123" spans="36:36">
      <c r="AJ123"/>
    </row>
    <row r="124" spans="36:36">
      <c r="AJ124"/>
    </row>
    <row r="125" spans="36:36">
      <c r="AJ125"/>
    </row>
    <row r="126" spans="36:36">
      <c r="AJ126"/>
    </row>
    <row r="127" spans="36:36">
      <c r="AJ127"/>
    </row>
    <row r="128" spans="36:36">
      <c r="AJ128"/>
    </row>
    <row r="129" spans="36:36">
      <c r="AJ129"/>
    </row>
    <row r="130" spans="36:36">
      <c r="AJ130"/>
    </row>
    <row r="131" spans="36:36">
      <c r="AJ131"/>
    </row>
    <row r="132" spans="36:36">
      <c r="AJ132"/>
    </row>
    <row r="133" spans="36:36">
      <c r="AJ133"/>
    </row>
    <row r="134" spans="36:36">
      <c r="AJ134"/>
    </row>
    <row r="135" spans="36:36">
      <c r="AJ135"/>
    </row>
    <row r="136" spans="36:36">
      <c r="AJ136"/>
    </row>
    <row r="137" spans="36:36">
      <c r="AJ137"/>
    </row>
    <row r="138" spans="36:36">
      <c r="AJ138"/>
    </row>
    <row r="139" spans="36:36">
      <c r="AJ139"/>
    </row>
    <row r="140" spans="36:36">
      <c r="AJ140"/>
    </row>
    <row r="141" spans="36:36">
      <c r="AJ141"/>
    </row>
    <row r="142" spans="36:36">
      <c r="AJ142"/>
    </row>
    <row r="143" spans="36:36">
      <c r="AJ143"/>
    </row>
    <row r="144" spans="36:36">
      <c r="AJ144"/>
    </row>
    <row r="145" spans="36:36">
      <c r="AJ145"/>
    </row>
    <row r="146" spans="36:36">
      <c r="AJ146"/>
    </row>
    <row r="147" spans="36:36">
      <c r="AJ147"/>
    </row>
    <row r="148" spans="36:36">
      <c r="AJ148"/>
    </row>
    <row r="149" spans="36:36">
      <c r="AJ149"/>
    </row>
    <row r="150" spans="36:36">
      <c r="AJ150"/>
    </row>
    <row r="151" spans="36:36">
      <c r="AJ151"/>
    </row>
    <row r="152" spans="36:36">
      <c r="AJ152"/>
    </row>
    <row r="153" spans="36:36">
      <c r="AJ153"/>
    </row>
    <row r="154" spans="36:36">
      <c r="AJ154"/>
    </row>
    <row r="155" spans="36:36">
      <c r="AJ155"/>
    </row>
    <row r="156" spans="36:36">
      <c r="AJ156"/>
    </row>
    <row r="157" spans="36:36">
      <c r="AJ157"/>
    </row>
    <row r="158" spans="36:36">
      <c r="AJ158"/>
    </row>
    <row r="159" spans="36:36">
      <c r="AJ159"/>
    </row>
    <row r="160" spans="36:36">
      <c r="AJ160"/>
    </row>
    <row r="161" spans="36:36">
      <c r="AJ161"/>
    </row>
    <row r="162" spans="36:36">
      <c r="AJ162"/>
    </row>
  </sheetData>
  <mergeCells count="111">
    <mergeCell ref="B1:AJ1"/>
    <mergeCell ref="AJ2:AJ5"/>
    <mergeCell ref="E71:K71"/>
    <mergeCell ref="E70:J70"/>
    <mergeCell ref="C6:D6"/>
    <mergeCell ref="C7:D7"/>
    <mergeCell ref="C8:D8"/>
    <mergeCell ref="E2:E5"/>
    <mergeCell ref="E6:E12"/>
    <mergeCell ref="M2:N4"/>
    <mergeCell ref="I2:J4"/>
    <mergeCell ref="K2:L4"/>
    <mergeCell ref="C41:D42"/>
    <mergeCell ref="C11:D11"/>
    <mergeCell ref="B37:B38"/>
    <mergeCell ref="C23:D25"/>
    <mergeCell ref="B23:B25"/>
    <mergeCell ref="AH23:AH25"/>
    <mergeCell ref="AG32:AG33"/>
    <mergeCell ref="C66:D66"/>
    <mergeCell ref="O71:Y71"/>
    <mergeCell ref="Q70:X70"/>
    <mergeCell ref="AJ35:AJ36"/>
    <mergeCell ref="B2:B5"/>
    <mergeCell ref="B15:B17"/>
    <mergeCell ref="B27:B28"/>
    <mergeCell ref="B29:B31"/>
    <mergeCell ref="B32:B33"/>
    <mergeCell ref="B35:B36"/>
    <mergeCell ref="AI32:AI33"/>
    <mergeCell ref="AA2:AB4"/>
    <mergeCell ref="AC2:AD4"/>
    <mergeCell ref="AI2:AI5"/>
    <mergeCell ref="AI15:AI17"/>
    <mergeCell ref="AH35:AH36"/>
    <mergeCell ref="AE2:AH4"/>
    <mergeCell ref="C10:D10"/>
    <mergeCell ref="AH29:AH31"/>
    <mergeCell ref="C15:D17"/>
    <mergeCell ref="C22:D22"/>
    <mergeCell ref="C26:D26"/>
    <mergeCell ref="C18:D18"/>
    <mergeCell ref="C27:D28"/>
    <mergeCell ref="C29:D31"/>
    <mergeCell ref="B20:B21"/>
    <mergeCell ref="C68:D68"/>
    <mergeCell ref="AH39:AH40"/>
    <mergeCell ref="AH41:AH42"/>
    <mergeCell ref="AI35:AI36"/>
    <mergeCell ref="AI39:AI40"/>
    <mergeCell ref="AI41:AI42"/>
    <mergeCell ref="AH32:AH33"/>
    <mergeCell ref="B39:B40"/>
    <mergeCell ref="B41:B42"/>
    <mergeCell ref="C39:D40"/>
    <mergeCell ref="C45:D45"/>
    <mergeCell ref="C64:D64"/>
    <mergeCell ref="C65:D65"/>
    <mergeCell ref="C49:D49"/>
    <mergeCell ref="C50:D50"/>
    <mergeCell ref="C51:D51"/>
    <mergeCell ref="C52:D52"/>
    <mergeCell ref="C53:D53"/>
    <mergeCell ref="C43:D43"/>
    <mergeCell ref="C44:D44"/>
    <mergeCell ref="C46:D46"/>
    <mergeCell ref="C47:D47"/>
    <mergeCell ref="C48:D48"/>
    <mergeCell ref="C59:D59"/>
    <mergeCell ref="C2:D5"/>
    <mergeCell ref="F2:H4"/>
    <mergeCell ref="O2:P4"/>
    <mergeCell ref="AI27:AI28"/>
    <mergeCell ref="AI29:AI31"/>
    <mergeCell ref="E13:E14"/>
    <mergeCell ref="C13:D13"/>
    <mergeCell ref="C14:D14"/>
    <mergeCell ref="C9:D9"/>
    <mergeCell ref="Q2:R4"/>
    <mergeCell ref="S2:T4"/>
    <mergeCell ref="U2:V4"/>
    <mergeCell ref="W2:X4"/>
    <mergeCell ref="Y2:Z4"/>
    <mergeCell ref="AH15:AH17"/>
    <mergeCell ref="AH27:AH28"/>
    <mergeCell ref="AG20:AG21"/>
    <mergeCell ref="AH20:AH21"/>
    <mergeCell ref="AI20:AI21"/>
    <mergeCell ref="AI23:AI25"/>
    <mergeCell ref="C19:D19"/>
    <mergeCell ref="AG15:AG17"/>
    <mergeCell ref="C12:D12"/>
    <mergeCell ref="C60:D60"/>
    <mergeCell ref="C61:D61"/>
    <mergeCell ref="C62:D62"/>
    <mergeCell ref="C67:D67"/>
    <mergeCell ref="C20:D21"/>
    <mergeCell ref="AG35:AG36"/>
    <mergeCell ref="AG41:AG42"/>
    <mergeCell ref="C32:D33"/>
    <mergeCell ref="C34:D34"/>
    <mergeCell ref="C35:D36"/>
    <mergeCell ref="C37:D38"/>
    <mergeCell ref="AG29:AG31"/>
    <mergeCell ref="AG23:AG25"/>
    <mergeCell ref="C63:D63"/>
    <mergeCell ref="C54:D54"/>
    <mergeCell ref="C55:D55"/>
    <mergeCell ref="C56:D56"/>
    <mergeCell ref="C57:D57"/>
    <mergeCell ref="C58:D58"/>
  </mergeCells>
  <pageMargins left="0.31496062992125984" right="0.31496062992125984" top="0.35433070866141736" bottom="0.35433070866141736" header="0.31496062992125984" footer="0.31496062992125984"/>
  <pageSetup scale="65" orientation="landscape" r:id="rId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 Roxangel</dc:creator>
  <cp:lastModifiedBy>Usuario</cp:lastModifiedBy>
  <cp:lastPrinted>2026-04-23T18:26:50Z</cp:lastPrinted>
  <dcterms:created xsi:type="dcterms:W3CDTF">2024-07-04T12:06:00Z</dcterms:created>
  <dcterms:modified xsi:type="dcterms:W3CDTF">2026-06-17T11:11:41Z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3CBCDA899AA24EAC8F4BF0FD619FD702_12</vt:lpwstr>
  </property>
  <property fmtid="{D5CDD505-2E9C-101B-9397-08002B2CF9AE}" pid="3" name="KSOProductBuildVer">
    <vt:lpwstr>3082-12.2.0.17545</vt:lpwstr>
  </property>
</Properties>
</file>